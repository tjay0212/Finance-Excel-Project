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teijuajeesh/Desktop/"/>
    </mc:Choice>
  </mc:AlternateContent>
  <xr:revisionPtr revIDLastSave="0" documentId="8_{84B18490-4197-B54E-BD7A-94ED51EA8E76}" xr6:coauthVersionLast="47" xr6:coauthVersionMax="47" xr10:uidLastSave="{00000000-0000-0000-0000-000000000000}"/>
  <bookViews>
    <workbookView xWindow="0" yWindow="500" windowWidth="28800" windowHeight="16440" tabRatio="500" xr2:uid="{00000000-000D-0000-FFFF-FFFF00000000}"/>
  </bookViews>
  <sheets>
    <sheet name="Dashboard" sheetId="1" r:id="rId1"/>
    <sheet name="Assumptions" sheetId="4" r:id="rId2"/>
    <sheet name="Clean Data" sheetId="3" r:id="rId3"/>
    <sheet name="Raw 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B8" i="1"/>
  <c r="B4" i="1"/>
  <c r="B18" i="3"/>
  <c r="C18" i="3"/>
  <c r="D18" i="3"/>
  <c r="E18" i="3"/>
  <c r="F18" i="3"/>
  <c r="B6" i="1"/>
  <c r="G33" i="3"/>
  <c r="G32" i="3"/>
  <c r="G31" i="3"/>
  <c r="G30" i="3"/>
  <c r="G29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F19" i="3"/>
  <c r="E19" i="3"/>
  <c r="D19" i="3"/>
  <c r="C19" i="3"/>
  <c r="B19" i="3"/>
  <c r="F17" i="3"/>
  <c r="E17" i="3"/>
  <c r="D17" i="3"/>
  <c r="C17" i="3"/>
  <c r="B17" i="3"/>
  <c r="G13" i="3"/>
  <c r="G12" i="3"/>
  <c r="G11" i="3"/>
  <c r="G10" i="3"/>
  <c r="G9" i="3"/>
  <c r="G8" i="3"/>
  <c r="G7" i="3"/>
  <c r="G6" i="3"/>
</calcChain>
</file>

<file path=xl/sharedStrings.xml><?xml version="1.0" encoding="utf-8"?>
<sst xmlns="http://schemas.openxmlformats.org/spreadsheetml/2006/main" count="114" uniqueCount="81">
  <si>
    <t>Apple Inc. — Financial KPI Dashboard  |  FY2019–FY2023</t>
  </si>
  <si>
    <t>REVENUE ($M)</t>
  </si>
  <si>
    <t>NET INCOME ($M)</t>
  </si>
  <si>
    <t>GROSS MARGIN %</t>
  </si>
  <si>
    <t>NET MARGIN %</t>
  </si>
  <si>
    <t>Apple Inc. — Raw Financial Data (USD millions)</t>
  </si>
  <si>
    <t>Source: Apple Inc. Annual Reports / 10-K filings  |  FY2019–FY2023</t>
  </si>
  <si>
    <t>Metric</t>
  </si>
  <si>
    <t>FY 2019</t>
  </si>
  <si>
    <t>FY2020</t>
  </si>
  <si>
    <t>FY 2021</t>
  </si>
  <si>
    <t xml:space="preserve">FY2022 </t>
  </si>
  <si>
    <t>FY 2023</t>
  </si>
  <si>
    <t>Net Revenue</t>
  </si>
  <si>
    <t>• Inconsistent header spacing (FY 2019 vs FY2020)</t>
  </si>
  <si>
    <t>Cost of Revenue</t>
  </si>
  <si>
    <t>• ALL CAPS rows — standardise capitalisation</t>
  </si>
  <si>
    <t>GROSS PROFIT</t>
  </si>
  <si>
    <t>• Operating Expenses row is blank — calculate from components</t>
  </si>
  <si>
    <t>Research &amp; Development</t>
  </si>
  <si>
    <t>• EPS FY2023 may be duplicated from FY2022 — verify</t>
  </si>
  <si>
    <t>Selling General &amp; Admin</t>
  </si>
  <si>
    <t>• Add Margin % and YoY Growth columns in the Clean sheet</t>
  </si>
  <si>
    <t>Total Operating Expenses</t>
  </si>
  <si>
    <t>Operating Income</t>
  </si>
  <si>
    <t>Other Income (net)</t>
  </si>
  <si>
    <t>Income Before Tax</t>
  </si>
  <si>
    <t>Income Tax</t>
  </si>
  <si>
    <t>NET INCOME</t>
  </si>
  <si>
    <t>Shares Outstanding (M)</t>
  </si>
  <si>
    <t>EPS (Basic)</t>
  </si>
  <si>
    <t>Stock Price (Year-end)</t>
  </si>
  <si>
    <t>Total Assets</t>
  </si>
  <si>
    <t>Total Liabilities</t>
  </si>
  <si>
    <t>Shareholders Equity</t>
  </si>
  <si>
    <t>Capital Expenditures</t>
  </si>
  <si>
    <t>Depreciation &amp; Amort.</t>
  </si>
  <si>
    <t>Free Cash Flow</t>
  </si>
  <si>
    <t>Apple Inc. — Clean Financial Data (USD millions)</t>
  </si>
  <si>
    <t>Cleaned &amp; standardised from Raw Data tab  |  FY2019–FY2023</t>
  </si>
  <si>
    <t>INCOME STATEMENT</t>
  </si>
  <si>
    <t>FY2019</t>
  </si>
  <si>
    <t>FY2021</t>
  </si>
  <si>
    <t>FY2022</t>
  </si>
  <si>
    <t>FY2023</t>
  </si>
  <si>
    <t>CAGR</t>
  </si>
  <si>
    <t>Gross Profit</t>
  </si>
  <si>
    <t>Selling, General &amp; Admin</t>
  </si>
  <si>
    <t>Net Income</t>
  </si>
  <si>
    <t>MARGIN ANALYSIS</t>
  </si>
  <si>
    <t>Gross Margin %</t>
  </si>
  <si>
    <t>n/a</t>
  </si>
  <si>
    <t>Operating Margin %</t>
  </si>
  <si>
    <t>Net Margin %</t>
  </si>
  <si>
    <t>YoY GROWTH</t>
  </si>
  <si>
    <t>4-Yr CAGR</t>
  </si>
  <si>
    <t>Revenue Growth</t>
  </si>
  <si>
    <t>Base</t>
  </si>
  <si>
    <t>Gross Profit Growth</t>
  </si>
  <si>
    <t>Net Income Growth</t>
  </si>
  <si>
    <t>PER SHARE &amp; OTHER METRICS</t>
  </si>
  <si>
    <t>EPS (Basic, $)</t>
  </si>
  <si>
    <t>Stock Price (Year-end, $)</t>
  </si>
  <si>
    <t>Free Cash Flow ($M)</t>
  </si>
  <si>
    <t>Capital Expenditures ($M)</t>
  </si>
  <si>
    <t>Dashboard Assumptions &amp; Lookup Table</t>
  </si>
  <si>
    <t>Assumption</t>
  </si>
  <si>
    <t>Value</t>
  </si>
  <si>
    <t>Note</t>
  </si>
  <si>
    <t>Selected Year for KPIs</t>
  </si>
  <si>
    <t>Change to FY2019–FY2023 to update KPI cards</t>
  </si>
  <si>
    <t>Revenue Target ($M)</t>
  </si>
  <si>
    <t>Your revenue forecast target</t>
  </si>
  <si>
    <t>Target Net Margin %</t>
  </si>
  <si>
    <t>Industry benchmark comparison</t>
  </si>
  <si>
    <t>Peer Avg Gross Margin %</t>
  </si>
  <si>
    <t>For benchmarking gross margin</t>
  </si>
  <si>
    <r>
      <t xml:space="preserve">KPI DASHBOARD </t>
    </r>
    <r>
      <rPr>
        <b/>
        <i/>
        <sz val="8"/>
        <color theme="0" tint="-0.499984740745262"/>
        <rFont val="Arial"/>
        <family val="2"/>
      </rPr>
      <t>Source: Apple 10-K filings | Data: FY2019 - FY2023</t>
    </r>
  </si>
  <si>
    <t>YoY Revenue Growth (Bar Chart)</t>
  </si>
  <si>
    <t>Revenue Trend (Bar Chart)</t>
  </si>
  <si>
    <t>Gross / Net Margin Trend (Line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</si>
</sst>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0"/>
      <color rgb="FF2E5FA3"/>
      <name val="Arial"/>
      <family val="2"/>
    </font>
    <font>
      <i/>
      <sz val="9"/>
      <color rgb="FF595959"/>
      <name val="Arial"/>
      <family val="2"/>
    </font>
    <font>
      <sz val="10"/>
      <name val="Arial"/>
      <family val="2"/>
    </font>
    <font>
      <b/>
      <sz val="13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i/>
      <sz val="10"/>
      <color rgb="FFC00000"/>
      <name val="Arial"/>
      <family val="2"/>
    </font>
    <font>
      <i/>
      <sz val="10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Calibri"/>
      <family val="2"/>
      <charset val="1"/>
    </font>
    <font>
      <sz val="10"/>
      <color rgb="FFC00000"/>
      <name val="Arial"/>
      <family val="2"/>
    </font>
    <font>
      <b/>
      <i/>
      <sz val="8"/>
      <color theme="0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0070C0"/>
      </patternFill>
    </fill>
    <fill>
      <patternFill patternType="solid">
        <fgColor rgb="FFD9E1F2"/>
        <bgColor rgb="FFE2EFDA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5" borderId="0" xfId="0" applyFont="1" applyFill="1" applyAlignment="1">
      <alignment horizontal="center" vertical="center"/>
    </xf>
    <xf numFmtId="0" fontId="2" fillId="0" borderId="0" xfId="0" applyFont="1"/>
    <xf numFmtId="0" fontId="7" fillId="3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/>
    <xf numFmtId="3" fontId="11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4" fontId="8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0" fontId="8" fillId="0" borderId="1" xfId="0" applyFont="1" applyBorder="1"/>
    <xf numFmtId="0" fontId="4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1" fillId="6" borderId="1" xfId="0" applyFont="1" applyFill="1" applyBorder="1"/>
    <xf numFmtId="0" fontId="7" fillId="2" borderId="0" xfId="0" applyFont="1" applyFill="1" applyAlignment="1">
      <alignment horizontal="left" vertical="center" indent="1"/>
    </xf>
    <xf numFmtId="0" fontId="13" fillId="0" borderId="0" xfId="0" applyFont="1"/>
    <xf numFmtId="0" fontId="7" fillId="3" borderId="0" xfId="0" applyFont="1" applyFill="1" applyAlignment="1">
      <alignment horizontal="center" vertical="center"/>
    </xf>
    <xf numFmtId="0" fontId="14" fillId="0" borderId="0" xfId="0" applyFont="1" applyFill="1"/>
    <xf numFmtId="0" fontId="13" fillId="0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3" fontId="1" fillId="0" borderId="0" xfId="0" applyNumberFormat="1" applyFont="1"/>
    <xf numFmtId="0" fontId="18" fillId="0" borderId="0" xfId="0" applyFont="1"/>
    <xf numFmtId="0" fontId="1" fillId="0" borderId="0" xfId="0" applyFont="1"/>
    <xf numFmtId="0" fontId="7" fillId="2" borderId="0" xfId="0" applyFont="1" applyFill="1"/>
    <xf numFmtId="0" fontId="1" fillId="7" borderId="1" xfId="0" applyFont="1" applyFill="1" applyBorder="1"/>
    <xf numFmtId="0" fontId="1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5FA3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($M) — FY2019</a:t>
            </a:r>
            <a:r>
              <a:rPr lang="en-US" baseline="0"/>
              <a:t> to FY2023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Data'!$B$5:$F$5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Data'!$B$6:$F$6</c:f>
              <c:numCache>
                <c:formatCode>#,##0</c:formatCode>
                <c:ptCount val="5"/>
                <c:pt idx="0">
                  <c:v>260174</c:v>
                </c:pt>
                <c:pt idx="1">
                  <c:v>274515</c:v>
                </c:pt>
                <c:pt idx="2">
                  <c:v>365817</c:v>
                </c:pt>
                <c:pt idx="3">
                  <c:v>394328</c:v>
                </c:pt>
                <c:pt idx="4">
                  <c:v>383285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9-9547-A06E-5DD68EF49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861760"/>
        <c:axId val="604863472"/>
      </c:barChart>
      <c:catAx>
        <c:axId val="6048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04863472"/>
        <c:crosses val="autoZero"/>
        <c:auto val="1"/>
        <c:lblAlgn val="ctr"/>
        <c:lblOffset val="100"/>
        <c:noMultiLvlLbl val="0"/>
      </c:catAx>
      <c:valAx>
        <c:axId val="6048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0486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Trend — FY2019</a:t>
            </a:r>
            <a:r>
              <a:rPr lang="en-US" baseline="0"/>
              <a:t> to FY2023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'Clean Data'!$A$17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'Clean Data'!$B$16:$F$16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Data'!$B$17:$F$17</c:f>
              <c:numCache>
                <c:formatCode>0.0%</c:formatCode>
                <c:ptCount val="5"/>
                <c:pt idx="0">
                  <c:v>0.37817768109034722</c:v>
                </c:pt>
                <c:pt idx="1">
                  <c:v>0.38233247727810865</c:v>
                </c:pt>
                <c:pt idx="2">
                  <c:v>0.41779359625167778</c:v>
                </c:pt>
                <c:pt idx="3">
                  <c:v>0.43309630561360085</c:v>
                </c:pt>
                <c:pt idx="4">
                  <c:v>0.44131129577207562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2-0542-95CC-9D7ABA99AFD5}"/>
            </c:ext>
          </c:extLst>
        </c:ser>
        <c:ser>
          <c:idx val="1"/>
          <c:order val="1"/>
          <c:tx>
            <c:strRef>
              <c:f>'Clean Data'!$A$18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'Clean Data'!$B$16:$F$16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Data'!$B$18:$F$18</c:f>
              <c:numCache>
                <c:formatCode>0.0%</c:formatCode>
                <c:ptCount val="5"/>
                <c:pt idx="0">
                  <c:v>0.24572017188496928</c:v>
                </c:pt>
                <c:pt idx="1">
                  <c:v>0.24147314354406862</c:v>
                </c:pt>
                <c:pt idx="2">
                  <c:v>0.29782377527561593</c:v>
                </c:pt>
                <c:pt idx="3">
                  <c:v>0.30288744395528594</c:v>
                </c:pt>
                <c:pt idx="4">
                  <c:v>0.29821412265024722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82-0542-95CC-9D7ABA99AFD5}"/>
            </c:ext>
          </c:extLst>
        </c:ser>
        <c:ser>
          <c:idx val="2"/>
          <c:order val="2"/>
          <c:tx>
            <c:strRef>
              <c:f>'Clean Data'!$A$19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'Clean Data'!$B$16:$F$16</c:f>
              <c:strCache>
                <c:ptCount val="5"/>
                <c:pt idx="0">
                  <c:v>FY2019</c:v>
                </c:pt>
                <c:pt idx="1">
                  <c:v>FY2020</c:v>
                </c:pt>
                <c:pt idx="2">
                  <c:v>FY2021</c:v>
                </c:pt>
                <c:pt idx="3">
                  <c:v>FY2022</c:v>
                </c:pt>
                <c:pt idx="4">
                  <c:v>FY2023</c:v>
                </c:pt>
              </c:strCache>
            </c:strRef>
          </c:cat>
          <c:val>
            <c:numRef>
              <c:f>'Clean Data'!$B$19:$F$19</c:f>
              <c:numCache>
                <c:formatCode>0.0%</c:formatCode>
                <c:ptCount val="5"/>
                <c:pt idx="0">
                  <c:v>0.21238094505984456</c:v>
                </c:pt>
                <c:pt idx="1">
                  <c:v>0.20913611278072236</c:v>
                </c:pt>
                <c:pt idx="2">
                  <c:v>0.25881793355694238</c:v>
                </c:pt>
                <c:pt idx="3">
                  <c:v>0.25309640705199732</c:v>
                </c:pt>
                <c:pt idx="4">
                  <c:v>0.25306234264320282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82-0542-95CC-9D7ABA99A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219743"/>
        <c:axId val="1899761600"/>
      </c:lineChart>
      <c:catAx>
        <c:axId val="4292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99761600"/>
        <c:crosses val="autoZero"/>
        <c:auto val="1"/>
        <c:lblAlgn val="ctr"/>
        <c:lblOffset val="100"/>
        <c:noMultiLvlLbl val="0"/>
      </c:catAx>
      <c:valAx>
        <c:axId val="18997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2921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r>
              <a:rPr lang="en-US" baseline="0"/>
              <a:t> Growth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Data'!$A$23:$B$23</c:f>
              <c:strCache>
                <c:ptCount val="2"/>
                <c:pt idx="0">
                  <c:v>Revenue Growth</c:v>
                </c:pt>
                <c:pt idx="1">
                  <c:v>Base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Data'!$C$22:$F$22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</c:strCache>
            </c:strRef>
          </c:cat>
          <c:val>
            <c:numRef>
              <c:f>'Clean Data'!$C$23:$F$23</c:f>
              <c:numCache>
                <c:formatCode>0.0%</c:formatCode>
                <c:ptCount val="4"/>
                <c:pt idx="0">
                  <c:v>5.5120803769784836E-2</c:v>
                </c:pt>
                <c:pt idx="1">
                  <c:v>0.33259384733074693</c:v>
                </c:pt>
                <c:pt idx="2">
                  <c:v>7.7937876041846058E-2</c:v>
                </c:pt>
                <c:pt idx="3">
                  <c:v>-2.8004605303199367E-2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2-3E48-99F2-0BB4B97A4398}"/>
            </c:ext>
          </c:extLst>
        </c:ser>
        <c:ser>
          <c:idx val="1"/>
          <c:order val="1"/>
          <c:tx>
            <c:strRef>
              <c:f>'Clean Data'!$A$24:$B$24</c:f>
              <c:strCache>
                <c:ptCount val="2"/>
                <c:pt idx="0">
                  <c:v>Gross Profit Growth</c:v>
                </c:pt>
                <c:pt idx="1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 Data'!$C$22:$F$22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</c:strCache>
            </c:strRef>
          </c:cat>
          <c:val>
            <c:numRef>
              <c:f>'Clean Data'!$C$24:$F$24</c:f>
              <c:numCache>
                <c:formatCode>0.0%</c:formatCode>
                <c:ptCount val="4"/>
                <c:pt idx="0">
                  <c:v>6.6712740873241722E-2</c:v>
                </c:pt>
                <c:pt idx="1">
                  <c:v>0.45619116582186819</c:v>
                </c:pt>
                <c:pt idx="2">
                  <c:v>0.11741997958596143</c:v>
                </c:pt>
                <c:pt idx="3">
                  <c:v>-9.5677530418896602E-3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2-3E48-99F2-0BB4B97A4398}"/>
            </c:ext>
          </c:extLst>
        </c:ser>
        <c:ser>
          <c:idx val="2"/>
          <c:order val="2"/>
          <c:tx>
            <c:strRef>
              <c:f>'Clean Data'!$A$25:$B$25</c:f>
              <c:strCache>
                <c:ptCount val="2"/>
                <c:pt idx="0">
                  <c:v>Net Income Growth</c:v>
                </c:pt>
                <c:pt idx="1">
                  <c:v>Base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 Data'!$C$22:$F$22</c:f>
              <c:strCache>
                <c:ptCount val="4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</c:strCache>
            </c:strRef>
          </c:cat>
          <c:val>
            <c:numRef>
              <c:f>'Clean Data'!$C$25:$F$25</c:f>
              <c:numCache>
                <c:formatCode>0.0%</c:formatCode>
                <c:ptCount val="4"/>
                <c:pt idx="0">
                  <c:v>3.9000289561314606E-2</c:v>
                </c:pt>
                <c:pt idx="1">
                  <c:v>0.64916131055024295</c:v>
                </c:pt>
                <c:pt idx="2">
                  <c:v>5.4108576256865229E-2</c:v>
                </c:pt>
                <c:pt idx="3">
                  <c:v>-2.8135426790777834E-2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42-3E48-99F2-0BB4B97A4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126975"/>
        <c:axId val="1899034880"/>
      </c:barChart>
      <c:catAx>
        <c:axId val="43412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899034880"/>
        <c:crosses val="autoZero"/>
        <c:auto val="1"/>
        <c:lblAlgn val="ctr"/>
        <c:lblOffset val="100"/>
        <c:noMultiLvlLbl val="0"/>
      </c:catAx>
      <c:valAx>
        <c:axId val="189903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3412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27941</xdr:colOff>
      <xdr:row>13</xdr:row>
      <xdr:rowOff>33020</xdr:rowOff>
    </xdr:from>
    <xdr:to>
      <xdr:col>3</xdr:col>
      <xdr:colOff>439226</xdr:colOff>
      <xdr:row>28</xdr:row>
      <xdr:rowOff>47674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652B62-FFB9-D34B-B5B8-618B4D7F6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3</xdr:col>
      <xdr:colOff>399830</xdr:colOff>
      <xdr:row>44</xdr:row>
      <xdr:rowOff>151781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D7BBFC-5C22-3344-B5F2-507F999AB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3</xdr:col>
      <xdr:colOff>481724</xdr:colOff>
      <xdr:row>60</xdr:row>
      <xdr:rowOff>131380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BCBE87A-BBCC-2340-B796-6E0F1BC9F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L64"/>
  <sheetViews>
    <sheetView showGridLines="0" tabSelected="1" zoomScale="87" zoomScaleNormal="100" workbookViewId="0">
      <pane ySplit="2" topLeftCell="A3" activePane="bottomLeft" state="frozen"/>
      <selection pane="bottomLeft" activeCell="H26" sqref="H26"/>
    </sheetView>
  </sheetViews>
  <sheetFormatPr baseColWidth="10" defaultColWidth="8.6640625" defaultRowHeight="13" x14ac:dyDescent="0.15"/>
  <cols>
    <col min="1" max="1" width="26" style="23" customWidth="1"/>
    <col min="2" max="12" width="14" style="23" customWidth="1"/>
    <col min="13" max="16384" width="8.6640625" style="23"/>
  </cols>
  <sheetData>
    <row r="1" spans="1:12" ht="31.5" customHeight="1" x14ac:dyDescent="0.1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9.5" customHeight="1" x14ac:dyDescent="0.15">
      <c r="A2" s="1" t="s">
        <v>77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x14ac:dyDescent="0.15">
      <c r="A4" s="24" t="s">
        <v>1</v>
      </c>
      <c r="B4" s="23">
        <f>_xlfn.XLOOKUP(Assumptions!B5, 'Clean Data'!B5:F5, 'Clean Data'!B6:F6)</f>
        <v>260174</v>
      </c>
      <c r="I4" s="25"/>
    </row>
    <row r="5" spans="1:12" x14ac:dyDescent="0.15">
      <c r="I5" s="26"/>
    </row>
    <row r="6" spans="1:12" x14ac:dyDescent="0.15">
      <c r="A6" s="24" t="s">
        <v>2</v>
      </c>
      <c r="B6" s="23">
        <f>_xlfn.XLOOKUP(Assumptions!B5, 'Clean Data'!B5:F5, 'Clean Data'!B13:F13)</f>
        <v>55256</v>
      </c>
      <c r="I6" s="26"/>
    </row>
    <row r="7" spans="1:12" x14ac:dyDescent="0.15">
      <c r="I7" s="26"/>
    </row>
    <row r="8" spans="1:12" x14ac:dyDescent="0.15">
      <c r="A8" s="24" t="s">
        <v>3</v>
      </c>
      <c r="B8" s="23">
        <f>_xlfn.XLOOKUP(Assumptions!B5,'Clean Data'!B16:F16,'Clean Data'!B17:F17)*100</f>
        <v>37.817768109034724</v>
      </c>
      <c r="I8" s="26"/>
    </row>
    <row r="9" spans="1:12" x14ac:dyDescent="0.15">
      <c r="I9" s="25"/>
    </row>
    <row r="10" spans="1:12" x14ac:dyDescent="0.15">
      <c r="A10" s="24" t="s">
        <v>4</v>
      </c>
      <c r="B10" s="23">
        <f>_xlfn.XLOOKUP(Assumptions!B5, 'Clean Data'!B16:F16, 'Clean Data'!B19:F19)*100</f>
        <v>21.238094505984456</v>
      </c>
      <c r="I10" s="26"/>
    </row>
    <row r="11" spans="1:12" x14ac:dyDescent="0.15">
      <c r="I11" s="26"/>
    </row>
    <row r="12" spans="1:12" x14ac:dyDescent="0.15">
      <c r="I12" s="26"/>
    </row>
    <row r="13" spans="1:12" x14ac:dyDescent="0.15">
      <c r="A13" s="2" t="s">
        <v>79</v>
      </c>
      <c r="I13" s="26"/>
      <c r="J13" s="2"/>
    </row>
    <row r="14" spans="1:12" x14ac:dyDescent="0.15">
      <c r="I14" s="25"/>
    </row>
    <row r="15" spans="1:12" x14ac:dyDescent="0.15">
      <c r="I15" s="26"/>
    </row>
    <row r="16" spans="1:12" x14ac:dyDescent="0.15">
      <c r="I16" s="26"/>
    </row>
    <row r="17" spans="1:9" x14ac:dyDescent="0.15">
      <c r="I17" s="26"/>
    </row>
    <row r="18" spans="1:9" x14ac:dyDescent="0.15">
      <c r="I18" s="26"/>
    </row>
    <row r="19" spans="1:9" x14ac:dyDescent="0.15">
      <c r="I19" s="25"/>
    </row>
    <row r="21" spans="1:9" x14ac:dyDescent="0.15">
      <c r="A21" s="27"/>
    </row>
    <row r="30" spans="1:9" x14ac:dyDescent="0.15">
      <c r="A30" s="2" t="s">
        <v>80</v>
      </c>
    </row>
    <row r="45" spans="1:1" x14ac:dyDescent="0.15">
      <c r="A45" s="27"/>
    </row>
    <row r="46" spans="1:1" x14ac:dyDescent="0.15">
      <c r="A46" s="2" t="s">
        <v>78</v>
      </c>
    </row>
    <row r="64" spans="1:1" x14ac:dyDescent="0.15">
      <c r="A64" s="27"/>
    </row>
  </sheetData>
  <mergeCells count="2">
    <mergeCell ref="A1:L1"/>
    <mergeCell ref="A2:L2"/>
  </mergeCells>
  <pageMargins left="0.75" right="0.75" top="1" bottom="1" header="0.511811023622047" footer="0.511811023622047"/>
  <pageSetup paperSize="9" scale="92" fitToWidth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C8"/>
  <sheetViews>
    <sheetView zoomScale="140" zoomScaleNormal="100" workbookViewId="0">
      <selection activeCell="B19" sqref="B19"/>
    </sheetView>
  </sheetViews>
  <sheetFormatPr baseColWidth="10" defaultColWidth="8.6640625" defaultRowHeight="15" x14ac:dyDescent="0.2"/>
  <cols>
    <col min="1" max="1" width="28" customWidth="1"/>
    <col min="2" max="2" width="18" customWidth="1"/>
    <col min="3" max="3" width="40" customWidth="1"/>
  </cols>
  <sheetData>
    <row r="1" spans="1:3" ht="17" x14ac:dyDescent="0.2">
      <c r="A1" s="4" t="s">
        <v>65</v>
      </c>
    </row>
    <row r="2" spans="1:3" x14ac:dyDescent="0.2">
      <c r="A2" s="3"/>
    </row>
    <row r="4" spans="1:3" x14ac:dyDescent="0.2">
      <c r="A4" s="7" t="s">
        <v>66</v>
      </c>
      <c r="B4" s="7" t="s">
        <v>67</v>
      </c>
      <c r="C4" s="7" t="s">
        <v>68</v>
      </c>
    </row>
    <row r="5" spans="1:3" x14ac:dyDescent="0.2">
      <c r="A5" s="16" t="s">
        <v>69</v>
      </c>
      <c r="B5" s="17" t="s">
        <v>41</v>
      </c>
      <c r="C5" s="18" t="s">
        <v>70</v>
      </c>
    </row>
    <row r="6" spans="1:3" x14ac:dyDescent="0.2">
      <c r="A6" s="16" t="s">
        <v>71</v>
      </c>
      <c r="B6" s="19">
        <v>400000</v>
      </c>
      <c r="C6" s="18" t="s">
        <v>72</v>
      </c>
    </row>
    <row r="7" spans="1:3" x14ac:dyDescent="0.2">
      <c r="A7" s="16" t="s">
        <v>73</v>
      </c>
      <c r="B7" s="20">
        <v>0.26</v>
      </c>
      <c r="C7" s="18" t="s">
        <v>74</v>
      </c>
    </row>
    <row r="8" spans="1:3" x14ac:dyDescent="0.2">
      <c r="A8" s="16" t="s">
        <v>75</v>
      </c>
      <c r="B8" s="20">
        <v>0.43</v>
      </c>
      <c r="C8" s="18" t="s">
        <v>76</v>
      </c>
    </row>
  </sheetData>
  <dataValidations count="1">
    <dataValidation type="list" allowBlank="1" showInputMessage="1" showErrorMessage="1" sqref="B5" xr:uid="{57DBC0E5-2689-CE49-BF9C-8B080EBE7595}">
      <formula1>"FY2019, FY2020, FY2021, FY2022, FY2023"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G33"/>
  <sheetViews>
    <sheetView zoomScale="107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3" sqref="A23"/>
    </sheetView>
  </sheetViews>
  <sheetFormatPr baseColWidth="10" defaultColWidth="8.6640625" defaultRowHeight="13" x14ac:dyDescent="0.15"/>
  <cols>
    <col min="1" max="1" width="28" style="23" customWidth="1"/>
    <col min="2" max="7" width="12" style="23" customWidth="1"/>
    <col min="8" max="16384" width="8.6640625" style="23"/>
  </cols>
  <sheetData>
    <row r="1" spans="1:7" s="23" customFormat="1" x14ac:dyDescent="0.15">
      <c r="A1" s="28" t="s">
        <v>38</v>
      </c>
    </row>
    <row r="2" spans="1:7" s="23" customFormat="1" x14ac:dyDescent="0.15">
      <c r="A2" s="27" t="s">
        <v>39</v>
      </c>
    </row>
    <row r="4" spans="1:7" s="23" customFormat="1" x14ac:dyDescent="0.15">
      <c r="A4" s="33" t="s">
        <v>40</v>
      </c>
      <c r="B4" s="37"/>
      <c r="C4" s="37"/>
      <c r="D4" s="37"/>
      <c r="E4" s="37"/>
      <c r="F4" s="37"/>
      <c r="G4" s="37"/>
    </row>
    <row r="5" spans="1:7" s="23" customFormat="1" x14ac:dyDescent="0.15">
      <c r="A5" s="7" t="s">
        <v>7</v>
      </c>
      <c r="B5" s="7" t="s">
        <v>41</v>
      </c>
      <c r="C5" s="7" t="s">
        <v>9</v>
      </c>
      <c r="D5" s="7" t="s">
        <v>42</v>
      </c>
      <c r="E5" s="7" t="s">
        <v>43</v>
      </c>
      <c r="F5" s="7" t="s">
        <v>44</v>
      </c>
      <c r="G5" s="7" t="s">
        <v>45</v>
      </c>
    </row>
    <row r="6" spans="1:7" s="23" customFormat="1" x14ac:dyDescent="0.15">
      <c r="A6" s="21" t="s">
        <v>13</v>
      </c>
      <c r="B6" s="8">
        <v>260174</v>
      </c>
      <c r="C6" s="8">
        <v>274515</v>
      </c>
      <c r="D6" s="8">
        <v>365817</v>
      </c>
      <c r="E6" s="8">
        <v>394328</v>
      </c>
      <c r="F6" s="8">
        <v>383285</v>
      </c>
      <c r="G6" s="9">
        <f t="shared" ref="G6:G13" si="0">(F6/B6)^(1/4)-1</f>
        <v>0.10170287389225408</v>
      </c>
    </row>
    <row r="7" spans="1:7" s="23" customFormat="1" x14ac:dyDescent="0.15">
      <c r="A7" s="34" t="s">
        <v>15</v>
      </c>
      <c r="B7" s="10">
        <v>161782</v>
      </c>
      <c r="C7" s="10">
        <v>169559</v>
      </c>
      <c r="D7" s="10">
        <v>212981</v>
      </c>
      <c r="E7" s="10">
        <v>223546</v>
      </c>
      <c r="F7" s="10">
        <v>214137</v>
      </c>
      <c r="G7" s="11">
        <f t="shared" si="0"/>
        <v>7.2606386509437737E-2</v>
      </c>
    </row>
    <row r="8" spans="1:7" s="23" customFormat="1" x14ac:dyDescent="0.15">
      <c r="A8" s="12" t="s">
        <v>46</v>
      </c>
      <c r="B8" s="13">
        <v>98392</v>
      </c>
      <c r="C8" s="13">
        <v>104956</v>
      </c>
      <c r="D8" s="13">
        <v>152836</v>
      </c>
      <c r="E8" s="13">
        <v>170782</v>
      </c>
      <c r="F8" s="13">
        <v>169148</v>
      </c>
      <c r="G8" s="14">
        <f t="shared" si="0"/>
        <v>0.14505611306369404</v>
      </c>
    </row>
    <row r="9" spans="1:7" s="23" customFormat="1" x14ac:dyDescent="0.15">
      <c r="A9" s="34" t="s">
        <v>19</v>
      </c>
      <c r="B9" s="10">
        <v>16217</v>
      </c>
      <c r="C9" s="10">
        <v>18752</v>
      </c>
      <c r="D9" s="10">
        <v>21914</v>
      </c>
      <c r="E9" s="10">
        <v>26251</v>
      </c>
      <c r="F9" s="10">
        <v>29915</v>
      </c>
      <c r="G9" s="11">
        <f t="shared" si="0"/>
        <v>0.16541236763929001</v>
      </c>
    </row>
    <row r="10" spans="1:7" s="23" customFormat="1" x14ac:dyDescent="0.15">
      <c r="A10" s="21" t="s">
        <v>47</v>
      </c>
      <c r="B10" s="8">
        <v>18245</v>
      </c>
      <c r="C10" s="8">
        <v>19916</v>
      </c>
      <c r="D10" s="8">
        <v>21973</v>
      </c>
      <c r="E10" s="8">
        <v>25094</v>
      </c>
      <c r="F10" s="8">
        <v>24932</v>
      </c>
      <c r="G10" s="9">
        <f t="shared" si="0"/>
        <v>8.119321748543129E-2</v>
      </c>
    </row>
    <row r="11" spans="1:7" s="23" customFormat="1" x14ac:dyDescent="0.15">
      <c r="A11" s="34" t="s">
        <v>23</v>
      </c>
      <c r="B11" s="10">
        <v>34462</v>
      </c>
      <c r="C11" s="10">
        <v>38668</v>
      </c>
      <c r="D11" s="10">
        <v>43887</v>
      </c>
      <c r="E11" s="10">
        <v>51345</v>
      </c>
      <c r="F11" s="10">
        <v>54847</v>
      </c>
      <c r="G11" s="11">
        <f t="shared" si="0"/>
        <v>0.12318966821515276</v>
      </c>
    </row>
    <row r="12" spans="1:7" s="23" customFormat="1" x14ac:dyDescent="0.15">
      <c r="A12" s="12" t="s">
        <v>24</v>
      </c>
      <c r="B12" s="13">
        <v>63930</v>
      </c>
      <c r="C12" s="13">
        <v>66288</v>
      </c>
      <c r="D12" s="13">
        <v>108949</v>
      </c>
      <c r="E12" s="13">
        <v>119437</v>
      </c>
      <c r="F12" s="13">
        <v>114301</v>
      </c>
      <c r="G12" s="14">
        <f t="shared" si="0"/>
        <v>0.15634208322867438</v>
      </c>
    </row>
    <row r="13" spans="1:7" s="23" customFormat="1" x14ac:dyDescent="0.15">
      <c r="A13" s="12" t="s">
        <v>48</v>
      </c>
      <c r="B13" s="13">
        <v>55256</v>
      </c>
      <c r="C13" s="13">
        <v>57411</v>
      </c>
      <c r="D13" s="13">
        <v>94680</v>
      </c>
      <c r="E13" s="13">
        <v>99803</v>
      </c>
      <c r="F13" s="13">
        <v>96995</v>
      </c>
      <c r="G13" s="14">
        <f t="shared" si="0"/>
        <v>0.15104545965347493</v>
      </c>
    </row>
    <row r="15" spans="1:7" s="23" customFormat="1" x14ac:dyDescent="0.15">
      <c r="A15" s="33" t="s">
        <v>49</v>
      </c>
      <c r="B15" s="37"/>
      <c r="C15" s="37"/>
      <c r="D15" s="37"/>
      <c r="E15" s="37"/>
      <c r="F15" s="37"/>
      <c r="G15" s="37"/>
    </row>
    <row r="16" spans="1:7" s="23" customFormat="1" x14ac:dyDescent="0.15">
      <c r="A16" s="7" t="s">
        <v>7</v>
      </c>
      <c r="B16" s="7" t="s">
        <v>41</v>
      </c>
      <c r="C16" s="7" t="s">
        <v>9</v>
      </c>
      <c r="D16" s="7" t="s">
        <v>42</v>
      </c>
      <c r="E16" s="7" t="s">
        <v>43</v>
      </c>
      <c r="F16" s="7" t="s">
        <v>44</v>
      </c>
      <c r="G16" s="7" t="s">
        <v>45</v>
      </c>
    </row>
    <row r="17" spans="1:7" s="23" customFormat="1" x14ac:dyDescent="0.15">
      <c r="A17" s="21" t="s">
        <v>50</v>
      </c>
      <c r="B17" s="9">
        <f>B8/B6</f>
        <v>0.37817768109034722</v>
      </c>
      <c r="C17" s="9">
        <f>C8/C6</f>
        <v>0.38233247727810865</v>
      </c>
      <c r="D17" s="9">
        <f>D8/D6</f>
        <v>0.41779359625167778</v>
      </c>
      <c r="E17" s="9">
        <f>E8/E6</f>
        <v>0.43309630561360085</v>
      </c>
      <c r="F17" s="9">
        <f>F8/F6</f>
        <v>0.44131129577207562</v>
      </c>
      <c r="G17" s="35" t="s">
        <v>51</v>
      </c>
    </row>
    <row r="18" spans="1:7" s="23" customFormat="1" x14ac:dyDescent="0.15">
      <c r="A18" s="34" t="s">
        <v>52</v>
      </c>
      <c r="B18" s="11">
        <f>B12/B6</f>
        <v>0.24572017188496928</v>
      </c>
      <c r="C18" s="11">
        <f>C12/C6</f>
        <v>0.24147314354406862</v>
      </c>
      <c r="D18" s="11">
        <f>D12/D6</f>
        <v>0.29782377527561593</v>
      </c>
      <c r="E18" s="11">
        <f>E12/E6</f>
        <v>0.30288744395528594</v>
      </c>
      <c r="F18" s="11">
        <f>F12/F6</f>
        <v>0.29821412265024722</v>
      </c>
      <c r="G18" s="36" t="s">
        <v>51</v>
      </c>
    </row>
    <row r="19" spans="1:7" s="23" customFormat="1" x14ac:dyDescent="0.15">
      <c r="A19" s="21" t="s">
        <v>53</v>
      </c>
      <c r="B19" s="9">
        <f>B13/B6</f>
        <v>0.21238094505984456</v>
      </c>
      <c r="C19" s="9">
        <f>C13/C6</f>
        <v>0.20913611278072236</v>
      </c>
      <c r="D19" s="9">
        <f>D13/D6</f>
        <v>0.25881793355694238</v>
      </c>
      <c r="E19" s="9">
        <f>E13/E6</f>
        <v>0.25309640705199732</v>
      </c>
      <c r="F19" s="9">
        <f>F13/F6</f>
        <v>0.25306234264320282</v>
      </c>
      <c r="G19" s="35" t="s">
        <v>51</v>
      </c>
    </row>
    <row r="21" spans="1:7" s="23" customFormat="1" x14ac:dyDescent="0.15">
      <c r="A21" s="33" t="s">
        <v>54</v>
      </c>
      <c r="B21" s="37"/>
      <c r="C21" s="37"/>
      <c r="D21" s="37"/>
      <c r="E21" s="37"/>
      <c r="F21" s="37"/>
      <c r="G21" s="37"/>
    </row>
    <row r="22" spans="1:7" s="23" customFormat="1" x14ac:dyDescent="0.15">
      <c r="A22" s="7" t="s">
        <v>7</v>
      </c>
      <c r="B22" s="7" t="s">
        <v>41</v>
      </c>
      <c r="C22" s="7" t="s">
        <v>9</v>
      </c>
      <c r="D22" s="7" t="s">
        <v>42</v>
      </c>
      <c r="E22" s="7" t="s">
        <v>43</v>
      </c>
      <c r="F22" s="7" t="s">
        <v>44</v>
      </c>
      <c r="G22" s="7" t="s">
        <v>55</v>
      </c>
    </row>
    <row r="23" spans="1:7" s="23" customFormat="1" x14ac:dyDescent="0.15">
      <c r="A23" s="21" t="s">
        <v>56</v>
      </c>
      <c r="B23" s="35" t="s">
        <v>57</v>
      </c>
      <c r="C23" s="9">
        <f>(C6-B6)/B6</f>
        <v>5.5120803769784836E-2</v>
      </c>
      <c r="D23" s="9">
        <f>(D6-C6)/C6</f>
        <v>0.33259384733074693</v>
      </c>
      <c r="E23" s="9">
        <f>(E6-D6)/D6</f>
        <v>7.7937876041846058E-2</v>
      </c>
      <c r="F23" s="9">
        <f>(F6-E6)/E6</f>
        <v>-2.8004605303199367E-2</v>
      </c>
      <c r="G23" s="9">
        <f>(F6/B6)^(1/4)-1</f>
        <v>0.10170287389225408</v>
      </c>
    </row>
    <row r="24" spans="1:7" s="23" customFormat="1" x14ac:dyDescent="0.15">
      <c r="A24" s="34" t="s">
        <v>58</v>
      </c>
      <c r="B24" s="36" t="s">
        <v>57</v>
      </c>
      <c r="C24" s="11">
        <f>(C8-B8)/B8</f>
        <v>6.6712740873241722E-2</v>
      </c>
      <c r="D24" s="11">
        <f>(D8-C8)/C8</f>
        <v>0.45619116582186819</v>
      </c>
      <c r="E24" s="11">
        <f>(E8-D8)/D8</f>
        <v>0.11741997958596143</v>
      </c>
      <c r="F24" s="11">
        <f>(F8-E8)/E8</f>
        <v>-9.5677530418896602E-3</v>
      </c>
      <c r="G24" s="11">
        <f>(F8/B8)^(1/4)-1</f>
        <v>0.14505611306369404</v>
      </c>
    </row>
    <row r="25" spans="1:7" s="23" customFormat="1" x14ac:dyDescent="0.15">
      <c r="A25" s="21" t="s">
        <v>59</v>
      </c>
      <c r="B25" s="35" t="s">
        <v>57</v>
      </c>
      <c r="C25" s="9">
        <f>(C13-B13)/B13</f>
        <v>3.9000289561314606E-2</v>
      </c>
      <c r="D25" s="9">
        <f>(D13-C13)/C13</f>
        <v>0.64916131055024295</v>
      </c>
      <c r="E25" s="9">
        <f>(E13-D13)/D13</f>
        <v>5.4108576256865229E-2</v>
      </c>
      <c r="F25" s="9">
        <f>(F13-E13)/E13</f>
        <v>-2.8135426790777834E-2</v>
      </c>
      <c r="G25" s="9">
        <f>(F13/B13)^(1/4)-1</f>
        <v>0.15104545965347493</v>
      </c>
    </row>
    <row r="27" spans="1:7" s="23" customFormat="1" x14ac:dyDescent="0.15">
      <c r="A27" s="33" t="s">
        <v>60</v>
      </c>
      <c r="B27" s="37"/>
      <c r="C27" s="37"/>
      <c r="D27" s="37"/>
      <c r="E27" s="37"/>
      <c r="F27" s="37"/>
      <c r="G27" s="37"/>
    </row>
    <row r="28" spans="1:7" s="23" customFormat="1" x14ac:dyDescent="0.15">
      <c r="A28" s="7" t="s">
        <v>7</v>
      </c>
      <c r="B28" s="7" t="s">
        <v>41</v>
      </c>
      <c r="C28" s="7" t="s">
        <v>9</v>
      </c>
      <c r="D28" s="7" t="s">
        <v>42</v>
      </c>
      <c r="E28" s="7" t="s">
        <v>43</v>
      </c>
      <c r="F28" s="7" t="s">
        <v>44</v>
      </c>
      <c r="G28" s="7" t="s">
        <v>45</v>
      </c>
    </row>
    <row r="29" spans="1:7" s="23" customFormat="1" x14ac:dyDescent="0.15">
      <c r="A29" s="21" t="s">
        <v>61</v>
      </c>
      <c r="B29" s="15">
        <v>11.97</v>
      </c>
      <c r="C29" s="15">
        <v>13.28</v>
      </c>
      <c r="D29" s="15">
        <v>22.99</v>
      </c>
      <c r="E29" s="15">
        <v>26.44</v>
      </c>
      <c r="F29" s="15">
        <v>26.45</v>
      </c>
      <c r="G29" s="9">
        <f>(F29/B29)^(1/4)-1</f>
        <v>0.21922225515483396</v>
      </c>
    </row>
    <row r="30" spans="1:7" s="23" customFormat="1" x14ac:dyDescent="0.15">
      <c r="A30" s="34" t="s">
        <v>29</v>
      </c>
      <c r="B30" s="10">
        <v>4617</v>
      </c>
      <c r="C30" s="10">
        <v>4323</v>
      </c>
      <c r="D30" s="10">
        <v>4129</v>
      </c>
      <c r="E30" s="10">
        <v>3795</v>
      </c>
      <c r="F30" s="10">
        <v>3591</v>
      </c>
      <c r="G30" s="11">
        <f>(F30/B30)^(1/4)-1</f>
        <v>-6.0895584246247525E-2</v>
      </c>
    </row>
    <row r="31" spans="1:7" s="23" customFormat="1" x14ac:dyDescent="0.15">
      <c r="A31" s="21" t="s">
        <v>62</v>
      </c>
      <c r="B31" s="15">
        <v>73.41</v>
      </c>
      <c r="C31" s="15">
        <v>132.69</v>
      </c>
      <c r="D31" s="15">
        <v>177.57</v>
      </c>
      <c r="E31" s="15">
        <v>129.93</v>
      </c>
      <c r="F31" s="15">
        <v>192.53</v>
      </c>
      <c r="G31" s="9">
        <f>(F31/B31)^(1/4)-1</f>
        <v>0.27258206039634225</v>
      </c>
    </row>
    <row r="32" spans="1:7" s="23" customFormat="1" x14ac:dyDescent="0.15">
      <c r="A32" s="34" t="s">
        <v>63</v>
      </c>
      <c r="B32" s="10">
        <v>58896</v>
      </c>
      <c r="C32" s="10">
        <v>73365</v>
      </c>
      <c r="D32" s="10">
        <v>92953</v>
      </c>
      <c r="E32" s="10">
        <v>111443</v>
      </c>
      <c r="F32" s="10">
        <v>99584</v>
      </c>
      <c r="G32" s="11">
        <f>(F32/B32)^(1/4)-1</f>
        <v>0.1403178999297563</v>
      </c>
    </row>
    <row r="33" spans="1:7" s="23" customFormat="1" x14ac:dyDescent="0.15">
      <c r="A33" s="21" t="s">
        <v>64</v>
      </c>
      <c r="B33" s="8">
        <v>10495</v>
      </c>
      <c r="C33" s="8">
        <v>7309</v>
      </c>
      <c r="D33" s="8">
        <v>11085</v>
      </c>
      <c r="E33" s="8">
        <v>10708</v>
      </c>
      <c r="F33" s="8">
        <v>10959</v>
      </c>
      <c r="G33" s="9">
        <f>(F33/B33)^(1/4)-1</f>
        <v>1.0874219977121902E-2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H2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6" sqref="H16"/>
    </sheetView>
  </sheetViews>
  <sheetFormatPr baseColWidth="10" defaultColWidth="8.6640625" defaultRowHeight="14" x14ac:dyDescent="0.2"/>
  <cols>
    <col min="1" max="1" width="30" style="29" customWidth="1"/>
    <col min="2" max="6" width="14" style="29" customWidth="1"/>
    <col min="7" max="7" width="8.6640625" style="29"/>
    <col min="8" max="8" width="60" style="29" customWidth="1"/>
    <col min="9" max="16384" width="8.6640625" style="29"/>
  </cols>
  <sheetData>
    <row r="1" spans="1:8" x14ac:dyDescent="0.2">
      <c r="A1" s="28" t="s">
        <v>5</v>
      </c>
    </row>
    <row r="2" spans="1:8" x14ac:dyDescent="0.2">
      <c r="A2" s="27" t="s">
        <v>6</v>
      </c>
    </row>
    <row r="4" spans="1:8" x14ac:dyDescent="0.2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H4" s="6"/>
    </row>
    <row r="5" spans="1:8" x14ac:dyDescent="0.2">
      <c r="A5" s="29" t="s">
        <v>13</v>
      </c>
      <c r="B5" s="30">
        <v>260174</v>
      </c>
      <c r="C5" s="30">
        <v>274515</v>
      </c>
      <c r="D5" s="30">
        <v>365817</v>
      </c>
      <c r="E5" s="30">
        <v>394328</v>
      </c>
      <c r="F5" s="30">
        <v>383285</v>
      </c>
      <c r="H5" s="31" t="s">
        <v>14</v>
      </c>
    </row>
    <row r="6" spans="1:8" x14ac:dyDescent="0.2">
      <c r="A6" s="29" t="s">
        <v>15</v>
      </c>
      <c r="B6" s="30">
        <v>161782</v>
      </c>
      <c r="C6" s="30">
        <v>169559</v>
      </c>
      <c r="D6" s="30">
        <v>212981</v>
      </c>
      <c r="E6" s="30">
        <v>223546</v>
      </c>
      <c r="F6" s="30">
        <v>214137</v>
      </c>
      <c r="H6" s="31" t="s">
        <v>16</v>
      </c>
    </row>
    <row r="7" spans="1:8" x14ac:dyDescent="0.2">
      <c r="A7" s="29" t="s">
        <v>17</v>
      </c>
      <c r="B7" s="30">
        <v>98392</v>
      </c>
      <c r="C7" s="30">
        <v>104956</v>
      </c>
      <c r="D7" s="30">
        <v>152836</v>
      </c>
      <c r="E7" s="30">
        <v>170782</v>
      </c>
      <c r="F7" s="30">
        <v>169148</v>
      </c>
      <c r="H7" s="31" t="s">
        <v>18</v>
      </c>
    </row>
    <row r="8" spans="1:8" x14ac:dyDescent="0.2">
      <c r="A8" s="29" t="s">
        <v>19</v>
      </c>
      <c r="B8" s="30">
        <v>16217</v>
      </c>
      <c r="C8" s="30">
        <v>18752</v>
      </c>
      <c r="D8" s="30">
        <v>21914</v>
      </c>
      <c r="E8" s="30">
        <v>26251</v>
      </c>
      <c r="F8" s="30">
        <v>29915</v>
      </c>
      <c r="H8" s="31" t="s">
        <v>20</v>
      </c>
    </row>
    <row r="9" spans="1:8" x14ac:dyDescent="0.2">
      <c r="A9" s="29" t="s">
        <v>21</v>
      </c>
      <c r="B9" s="30">
        <v>18245</v>
      </c>
      <c r="C9" s="30">
        <v>19916</v>
      </c>
      <c r="D9" s="30">
        <v>21973</v>
      </c>
      <c r="E9" s="30">
        <v>25094</v>
      </c>
      <c r="F9" s="30">
        <v>24932</v>
      </c>
      <c r="H9" s="31" t="s">
        <v>22</v>
      </c>
    </row>
    <row r="10" spans="1:8" x14ac:dyDescent="0.2">
      <c r="A10" s="29" t="s">
        <v>23</v>
      </c>
      <c r="B10" s="32"/>
      <c r="C10" s="32"/>
      <c r="D10" s="32"/>
      <c r="E10" s="32"/>
      <c r="F10" s="32"/>
    </row>
    <row r="11" spans="1:8" x14ac:dyDescent="0.2">
      <c r="A11" s="29" t="s">
        <v>24</v>
      </c>
      <c r="B11" s="30">
        <v>63930</v>
      </c>
      <c r="C11" s="30">
        <v>66288</v>
      </c>
      <c r="D11" s="30">
        <v>108949</v>
      </c>
      <c r="E11" s="30">
        <v>119437</v>
      </c>
      <c r="F11" s="30">
        <v>114301</v>
      </c>
    </row>
    <row r="12" spans="1:8" x14ac:dyDescent="0.2">
      <c r="A12" s="29" t="s">
        <v>25</v>
      </c>
      <c r="B12" s="30">
        <v>1807</v>
      </c>
      <c r="C12" s="30">
        <v>803</v>
      </c>
      <c r="D12" s="30">
        <v>258</v>
      </c>
      <c r="E12" s="30">
        <v>-228</v>
      </c>
      <c r="F12" s="30">
        <v>-565</v>
      </c>
    </row>
    <row r="13" spans="1:8" x14ac:dyDescent="0.2">
      <c r="A13" s="29" t="s">
        <v>26</v>
      </c>
      <c r="B13" s="30">
        <v>65737</v>
      </c>
      <c r="C13" s="30">
        <v>67091</v>
      </c>
      <c r="D13" s="30">
        <v>109207</v>
      </c>
      <c r="E13" s="30">
        <v>119209</v>
      </c>
      <c r="F13" s="30">
        <v>113736</v>
      </c>
    </row>
    <row r="14" spans="1:8" x14ac:dyDescent="0.2">
      <c r="A14" s="29" t="s">
        <v>27</v>
      </c>
      <c r="B14" s="30">
        <v>10481</v>
      </c>
      <c r="C14" s="30">
        <v>9680</v>
      </c>
      <c r="D14" s="30">
        <v>14527</v>
      </c>
      <c r="E14" s="30">
        <v>19300</v>
      </c>
      <c r="F14" s="30">
        <v>18565</v>
      </c>
    </row>
    <row r="15" spans="1:8" x14ac:dyDescent="0.2">
      <c r="A15" s="29" t="s">
        <v>28</v>
      </c>
      <c r="B15" s="30">
        <v>55256</v>
      </c>
      <c r="C15" s="30">
        <v>57411</v>
      </c>
      <c r="D15" s="30">
        <v>94680</v>
      </c>
      <c r="E15" s="30">
        <v>99803</v>
      </c>
      <c r="F15" s="30">
        <v>96995</v>
      </c>
    </row>
    <row r="16" spans="1:8" x14ac:dyDescent="0.2">
      <c r="B16" s="32"/>
      <c r="C16" s="32"/>
      <c r="D16" s="32"/>
      <c r="E16" s="32"/>
      <c r="F16" s="32"/>
    </row>
    <row r="17" spans="1:6" x14ac:dyDescent="0.2">
      <c r="A17" s="29" t="s">
        <v>29</v>
      </c>
      <c r="B17" s="30">
        <v>4617</v>
      </c>
      <c r="C17" s="30">
        <v>4323</v>
      </c>
      <c r="D17" s="30">
        <v>4129</v>
      </c>
      <c r="E17" s="30">
        <v>3795</v>
      </c>
      <c r="F17" s="30">
        <v>3591</v>
      </c>
    </row>
    <row r="18" spans="1:6" x14ac:dyDescent="0.2">
      <c r="A18" s="29" t="s">
        <v>30</v>
      </c>
      <c r="B18" s="30">
        <v>11.97</v>
      </c>
      <c r="C18" s="30">
        <v>13.28</v>
      </c>
      <c r="D18" s="30">
        <v>22.99</v>
      </c>
      <c r="E18" s="30">
        <v>26.44</v>
      </c>
      <c r="F18" s="30">
        <v>26.44</v>
      </c>
    </row>
    <row r="19" spans="1:6" x14ac:dyDescent="0.2">
      <c r="A19" s="29" t="s">
        <v>31</v>
      </c>
      <c r="B19" s="30">
        <v>73.41</v>
      </c>
      <c r="C19" s="30">
        <v>132.69</v>
      </c>
      <c r="D19" s="30">
        <v>177.57</v>
      </c>
      <c r="E19" s="30">
        <v>129.93</v>
      </c>
      <c r="F19" s="30">
        <v>192.53</v>
      </c>
    </row>
    <row r="20" spans="1:6" x14ac:dyDescent="0.2">
      <c r="B20" s="32"/>
      <c r="C20" s="32"/>
      <c r="D20" s="32"/>
      <c r="E20" s="32"/>
      <c r="F20" s="32"/>
    </row>
    <row r="21" spans="1:6" x14ac:dyDescent="0.2">
      <c r="A21" s="29" t="s">
        <v>32</v>
      </c>
      <c r="B21" s="30">
        <v>338516</v>
      </c>
      <c r="C21" s="30">
        <v>323888</v>
      </c>
      <c r="D21" s="30">
        <v>351002</v>
      </c>
      <c r="E21" s="30">
        <v>352755</v>
      </c>
      <c r="F21" s="30">
        <v>352583</v>
      </c>
    </row>
    <row r="22" spans="1:6" x14ac:dyDescent="0.2">
      <c r="A22" s="29" t="s">
        <v>33</v>
      </c>
      <c r="B22" s="30">
        <v>248028</v>
      </c>
      <c r="C22" s="30">
        <v>258578</v>
      </c>
      <c r="D22" s="30">
        <v>287912</v>
      </c>
      <c r="E22" s="30">
        <v>302083</v>
      </c>
      <c r="F22" s="30">
        <v>290437</v>
      </c>
    </row>
    <row r="23" spans="1:6" x14ac:dyDescent="0.2">
      <c r="A23" s="29" t="s">
        <v>34</v>
      </c>
      <c r="B23" s="30">
        <v>90488</v>
      </c>
      <c r="C23" s="30">
        <v>65310</v>
      </c>
      <c r="D23" s="30">
        <v>63090</v>
      </c>
      <c r="E23" s="30">
        <v>50672</v>
      </c>
      <c r="F23" s="30">
        <v>62146</v>
      </c>
    </row>
    <row r="24" spans="1:6" x14ac:dyDescent="0.2">
      <c r="B24" s="32"/>
      <c r="C24" s="32"/>
      <c r="D24" s="32"/>
      <c r="E24" s="32"/>
      <c r="F24" s="32"/>
    </row>
    <row r="25" spans="1:6" x14ac:dyDescent="0.2">
      <c r="A25" s="29" t="s">
        <v>35</v>
      </c>
      <c r="B25" s="30">
        <v>10495</v>
      </c>
      <c r="C25" s="30">
        <v>7309</v>
      </c>
      <c r="D25" s="30">
        <v>11085</v>
      </c>
      <c r="E25" s="30">
        <v>10708</v>
      </c>
      <c r="F25" s="30">
        <v>10959</v>
      </c>
    </row>
    <row r="26" spans="1:6" x14ac:dyDescent="0.2">
      <c r="A26" s="29" t="s">
        <v>36</v>
      </c>
      <c r="B26" s="30">
        <v>12547</v>
      </c>
      <c r="C26" s="30">
        <v>11056</v>
      </c>
      <c r="D26" s="30">
        <v>11284</v>
      </c>
      <c r="E26" s="30">
        <v>11104</v>
      </c>
      <c r="F26" s="30">
        <v>11519</v>
      </c>
    </row>
    <row r="27" spans="1:6" x14ac:dyDescent="0.2">
      <c r="A27" s="29" t="s">
        <v>37</v>
      </c>
      <c r="B27" s="30">
        <v>58896</v>
      </c>
      <c r="C27" s="30">
        <v>73365</v>
      </c>
      <c r="D27" s="30">
        <v>92953</v>
      </c>
      <c r="E27" s="30">
        <v>111443</v>
      </c>
      <c r="F27" s="30">
        <v>99584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Assumptions</vt:lpstr>
      <vt:lpstr>Clean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YAMAYA, TEIJU (UG)</cp:lastModifiedBy>
  <cp:revision>0</cp:revision>
  <dcterms:created xsi:type="dcterms:W3CDTF">2026-05-31T23:45:48Z</dcterms:created>
  <dcterms:modified xsi:type="dcterms:W3CDTF">2026-06-01T14:33:24Z</dcterms:modified>
  <dc:language>en-US</dc:language>
</cp:coreProperties>
</file>